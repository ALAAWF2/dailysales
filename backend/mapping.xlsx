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range\Desktop\oragne sales dashboard\dailysales\backend\"/>
    </mc:Choice>
  </mc:AlternateContent>
  <xr:revisionPtr revIDLastSave="0" documentId="13_ncr:1_{69DF0F1C-E8AC-46DD-AF5D-A1D0F0C3EE3F}" xr6:coauthVersionLast="47" xr6:coauthVersionMax="47" xr10:uidLastSave="{00000000-0000-0000-0000-000000000000}"/>
  <bookViews>
    <workbookView xWindow="-120" yWindow="-120" windowWidth="29040" windowHeight="15720" xr2:uid="{A7FF015C-39FD-477A-B29D-453D44722474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2" i="1"/>
</calcChain>
</file>

<file path=xl/sharedStrings.xml><?xml version="1.0" encoding="utf-8"?>
<sst xmlns="http://schemas.openxmlformats.org/spreadsheetml/2006/main" count="193" uniqueCount="124">
  <si>
    <t>outlet</t>
  </si>
  <si>
    <t>store number</t>
  </si>
  <si>
    <t>04-Andalos Mall</t>
  </si>
  <si>
    <t>1001</t>
  </si>
  <si>
    <t>05-Haifa Mall</t>
  </si>
  <si>
    <t>1002</t>
  </si>
  <si>
    <t>06-Red Sea Mall</t>
  </si>
  <si>
    <t>1003</t>
  </si>
  <si>
    <t>07-Arab Mall</t>
  </si>
  <si>
    <t>1004</t>
  </si>
  <si>
    <t>09-Al-Salam Mall</t>
  </si>
  <si>
    <t>1005</t>
  </si>
  <si>
    <t>13-Al-Yasmin Mall</t>
  </si>
  <si>
    <t>1006</t>
  </si>
  <si>
    <t>18-Al_Khayyat Center</t>
  </si>
  <si>
    <t>1007</t>
  </si>
  <si>
    <t>48 - Jeddah Park</t>
  </si>
  <si>
    <t>1008</t>
  </si>
  <si>
    <t>53-Al Basateen Mall</t>
  </si>
  <si>
    <t>1009</t>
  </si>
  <si>
    <t>54-THE VILLAGE</t>
  </si>
  <si>
    <t>1010</t>
  </si>
  <si>
    <t>56- Aziz Mall 2</t>
  </si>
  <si>
    <t>1011</t>
  </si>
  <si>
    <t>57-Sauq7</t>
  </si>
  <si>
    <t>1012</t>
  </si>
  <si>
    <t>12-Al_Hamra Mall</t>
  </si>
  <si>
    <t>1101</t>
  </si>
  <si>
    <t>15-Riyadh Othaim Mall</t>
  </si>
  <si>
    <t>1102</t>
  </si>
  <si>
    <t>25-Rabwa Othaim Mall</t>
  </si>
  <si>
    <t>1103</t>
  </si>
  <si>
    <t>29-Al Nakheel Mall Riyadh</t>
  </si>
  <si>
    <t>1104</t>
  </si>
  <si>
    <t>30-Tala Mall Riyadh</t>
  </si>
  <si>
    <t>1105</t>
  </si>
  <si>
    <t>32-Atyaf Mall Riyadh</t>
  </si>
  <si>
    <t>1106</t>
  </si>
  <si>
    <t>38-Al_Riyadh Park</t>
  </si>
  <si>
    <t>1107</t>
  </si>
  <si>
    <t>39-Salam Mall Riyadh</t>
  </si>
  <si>
    <t>1108</t>
  </si>
  <si>
    <t>40-Hayat Mall Riyad</t>
  </si>
  <si>
    <t>1109</t>
  </si>
  <si>
    <t>45- Riyadh Gallery Mall</t>
  </si>
  <si>
    <t>1110</t>
  </si>
  <si>
    <t>46-Khaleej Mall Riyadh</t>
  </si>
  <si>
    <t>1111</t>
  </si>
  <si>
    <t>50-Meem Plaza Riyadh</t>
  </si>
  <si>
    <t>1112</t>
  </si>
  <si>
    <t>51-Park Avenue Riyadh</t>
  </si>
  <si>
    <t>1113</t>
  </si>
  <si>
    <t>08-Makkah Mall</t>
  </si>
  <si>
    <t>1201</t>
  </si>
  <si>
    <t>20-Sitten Street Makkah</t>
  </si>
  <si>
    <t>1202</t>
  </si>
  <si>
    <t>55- Jabl Omar</t>
  </si>
  <si>
    <t>1203</t>
  </si>
  <si>
    <t>11-Jouri Mall</t>
  </si>
  <si>
    <t>1301</t>
  </si>
  <si>
    <t>14-Al Kamal Mall</t>
  </si>
  <si>
    <t>1302</t>
  </si>
  <si>
    <t>23-Alia Mall Madinah</t>
  </si>
  <si>
    <t>1401</t>
  </si>
  <si>
    <t>26-Al-Noor Mall Madinah</t>
  </si>
  <si>
    <t>1402</t>
  </si>
  <si>
    <t>24-Yanbu Dana Mall</t>
  </si>
  <si>
    <t>1501</t>
  </si>
  <si>
    <t>16-Ehsa Othaim Mall</t>
  </si>
  <si>
    <t>1601</t>
  </si>
  <si>
    <t>49-AlAhsa Mall</t>
  </si>
  <si>
    <t>1602</t>
  </si>
  <si>
    <t>17-Arar Othaim Mall</t>
  </si>
  <si>
    <t>1701</t>
  </si>
  <si>
    <t>19-Hail Othaim Mall</t>
  </si>
  <si>
    <t>1801</t>
  </si>
  <si>
    <t>21-Abha Al_Rashid Mall New</t>
  </si>
  <si>
    <t>1901</t>
  </si>
  <si>
    <t>43-Mujan Park</t>
  </si>
  <si>
    <t>1903</t>
  </si>
  <si>
    <t>52-Al_Baha Mall</t>
  </si>
  <si>
    <t>1904</t>
  </si>
  <si>
    <t>22-Tabuk Park</t>
  </si>
  <si>
    <t>2001</t>
  </si>
  <si>
    <t>27-Dhahran Mall khobar</t>
  </si>
  <si>
    <t>2101</t>
  </si>
  <si>
    <t>28-Al Nakheel Mall Dammam</t>
  </si>
  <si>
    <t>2102</t>
  </si>
  <si>
    <t>42-Dareen Mall Dammam</t>
  </si>
  <si>
    <t>2103</t>
  </si>
  <si>
    <t>36-Al jubail Mall</t>
  </si>
  <si>
    <t>2201</t>
  </si>
  <si>
    <t>44-Al-Jouf Center</t>
  </si>
  <si>
    <t>2301</t>
  </si>
  <si>
    <t>47-Al-Nakheel Plaza</t>
  </si>
  <si>
    <t>2401</t>
  </si>
  <si>
    <t>target</t>
  </si>
  <si>
    <t>area</t>
  </si>
  <si>
    <t>city</t>
  </si>
  <si>
    <t>جدة</t>
  </si>
  <si>
    <t>الرياض</t>
  </si>
  <si>
    <t>مكة</t>
  </si>
  <si>
    <t>الطائف</t>
  </si>
  <si>
    <t>المدينة</t>
  </si>
  <si>
    <t>ينبع</t>
  </si>
  <si>
    <t>الاحساء</t>
  </si>
  <si>
    <t>عرعر</t>
  </si>
  <si>
    <t>حائل</t>
  </si>
  <si>
    <t>ابها</t>
  </si>
  <si>
    <t>تبوك</t>
  </si>
  <si>
    <t>المنطقة الشرقية</t>
  </si>
  <si>
    <t>الجوف</t>
  </si>
  <si>
    <t>القصيم</t>
  </si>
  <si>
    <t>عبيدة السباعي</t>
  </si>
  <si>
    <t>شريفة العمري</t>
  </si>
  <si>
    <t>المنطقة الغربية</t>
  </si>
  <si>
    <t>محمدكلو</t>
  </si>
  <si>
    <t xml:space="preserve">عبد الجليل الحبال </t>
  </si>
  <si>
    <t>عبدالله السرداح</t>
  </si>
  <si>
    <t>رضوان عطيوي</t>
  </si>
  <si>
    <t>منطقة الطائف</t>
  </si>
  <si>
    <t>خليل الصانع</t>
  </si>
  <si>
    <t>جهاد ايوبي</t>
  </si>
  <si>
    <t>اماني عسيري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</si>
</sst>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ange\Desktop\&#1589;&#1576;&#1575;&#1581;%20&#1575;&#1604;&#1582;&#1610;&#1585;\&#1578;&#1602;&#1585;&#1610;&#1585;%20&#1575;&#1604;&#1605;&#1576;&#1610;&#1593;&#1575;&#1578;\2026\&#1605;&#1576;&#1610;&#1593;&#1575;&#1578;%20&#1575;&#1608;&#1585;&#1606;&#1580;.xlsm" TargetMode="External"/><Relationship Id="rId1" Type="http://schemas.openxmlformats.org/officeDocument/2006/relationships/externalLinkPath" Target="/Users/Orange/Desktop/&#1589;&#1576;&#1575;&#1581;%20&#1575;&#1604;&#1582;&#1610;&#1585;/&#1578;&#1602;&#1585;&#1610;&#1585;%20&#1575;&#1604;&#1605;&#1576;&#1610;&#1593;&#1575;&#1578;/2026/&#1605;&#1576;&#1610;&#1593;&#1575;&#1578;%20&#1575;&#1608;&#1585;&#1606;&#1580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تقرير المبيعات العام"/>
      <sheetName val="م.الوسطى-عبد الجليل الحبال"/>
      <sheetName val="م.الشمالية-خليل الصانع"/>
      <sheetName val="م.الوسطى-عبد الله السرداح"/>
      <sheetName val="م.الغربية-عبيدة السباعي"/>
      <sheetName val="م.الغربية"/>
      <sheetName val="م.الوسطى-محمد كلو"/>
      <sheetName val="م.الشرقية-جهاد ايوبي"/>
      <sheetName val="م.الجنوبية-اماني عسيري"/>
      <sheetName val="م.مكة-رضوان عطيوي"/>
      <sheetName val="م.الطائف"/>
      <sheetName val="م.الغربية-شريفة العمري"/>
      <sheetName val="م.الاونلاين"/>
      <sheetName val="AREA MANAGER "/>
      <sheetName val="DATE"/>
      <sheetName val="Target"/>
      <sheetName val="VISTOR 2024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المعرض</v>
          </cell>
          <cell r="E1" t="str">
            <v>تارجت المعرض</v>
          </cell>
        </row>
        <row r="2">
          <cell r="B2" t="str">
            <v>11-Jouri Mall</v>
          </cell>
          <cell r="E2">
            <v>370000</v>
          </cell>
        </row>
        <row r="3">
          <cell r="B3" t="str">
            <v>14-Al Kamal Mall</v>
          </cell>
          <cell r="E3">
            <v>175000</v>
          </cell>
        </row>
        <row r="4">
          <cell r="B4" t="str">
            <v>TOTAL</v>
          </cell>
          <cell r="E4">
            <v>545000</v>
          </cell>
        </row>
        <row r="6">
          <cell r="B6" t="str">
            <v>12-Al_Hamra Mall</v>
          </cell>
          <cell r="E6">
            <v>680000</v>
          </cell>
        </row>
        <row r="7">
          <cell r="B7" t="str">
            <v>29-Al Nakheel Mall Riyadh</v>
          </cell>
          <cell r="E7">
            <v>920000</v>
          </cell>
        </row>
        <row r="8">
          <cell r="B8" t="str">
            <v>32-Atyaf Mall Riyadh</v>
          </cell>
          <cell r="E8">
            <v>260000</v>
          </cell>
        </row>
        <row r="9">
          <cell r="B9" t="str">
            <v>38-Al_Riyadh Park</v>
          </cell>
          <cell r="E9">
            <v>660000</v>
          </cell>
        </row>
        <row r="10">
          <cell r="B10" t="str">
            <v>45- Riyadh Gallery Mall</v>
          </cell>
          <cell r="E10">
            <v>530000</v>
          </cell>
        </row>
        <row r="11">
          <cell r="B11" t="str">
            <v>46-Khaleej Mall Riyadh</v>
          </cell>
          <cell r="E11">
            <v>530000</v>
          </cell>
        </row>
        <row r="12">
          <cell r="B12" t="str">
            <v>51-Park Avenue Riyadh</v>
          </cell>
          <cell r="E12">
            <v>530000</v>
          </cell>
        </row>
        <row r="13">
          <cell r="B13" t="str">
            <v>TOTAL</v>
          </cell>
          <cell r="E13">
            <v>4110000</v>
          </cell>
        </row>
        <row r="15">
          <cell r="B15" t="str">
            <v>04-Andalos Mall</v>
          </cell>
          <cell r="E15">
            <v>680000</v>
          </cell>
        </row>
        <row r="16">
          <cell r="B16" t="str">
            <v>09-Al-Salam Mall</v>
          </cell>
          <cell r="E16">
            <v>360000</v>
          </cell>
        </row>
        <row r="17">
          <cell r="B17" t="str">
            <v>18-Al_Khayyat Center</v>
          </cell>
          <cell r="E17">
            <v>330000</v>
          </cell>
        </row>
        <row r="18">
          <cell r="B18" t="str">
            <v>53-Al Basateen Mall</v>
          </cell>
          <cell r="E18">
            <v>135000</v>
          </cell>
        </row>
        <row r="19">
          <cell r="B19" t="str">
            <v>57-Sauq7</v>
          </cell>
          <cell r="E19">
            <v>220000</v>
          </cell>
        </row>
        <row r="20">
          <cell r="B20" t="str">
            <v>TOTAL</v>
          </cell>
          <cell r="E20">
            <v>1725000</v>
          </cell>
        </row>
        <row r="22">
          <cell r="B22" t="str">
            <v>19-Hail Othaim Mall</v>
          </cell>
          <cell r="E22">
            <v>390000</v>
          </cell>
        </row>
        <row r="23">
          <cell r="B23" t="str">
            <v>30-Tala Mall Riyadh</v>
          </cell>
          <cell r="E23">
            <v>300000</v>
          </cell>
        </row>
        <row r="24">
          <cell r="B24" t="str">
            <v>40-Hayat Mall Riyad</v>
          </cell>
          <cell r="E24">
            <v>360000</v>
          </cell>
        </row>
        <row r="25">
          <cell r="B25" t="str">
            <v>47-Al-Nakheel Plaza</v>
          </cell>
          <cell r="E25">
            <v>400000</v>
          </cell>
        </row>
        <row r="26">
          <cell r="B26" t="str">
            <v>TOTAL</v>
          </cell>
          <cell r="E26">
            <v>1450000</v>
          </cell>
        </row>
        <row r="28">
          <cell r="B28" t="str">
            <v>15-Riyadh Othaim Mall</v>
          </cell>
          <cell r="E28">
            <v>270000</v>
          </cell>
        </row>
        <row r="29">
          <cell r="B29" t="str">
            <v>25-Rabwa Othaim Mall</v>
          </cell>
          <cell r="E29">
            <v>270000</v>
          </cell>
        </row>
        <row r="30">
          <cell r="B30" t="str">
            <v>39-Salam Mall Riyadh</v>
          </cell>
          <cell r="E30">
            <v>330000</v>
          </cell>
        </row>
        <row r="31">
          <cell r="B31" t="str">
            <v>50-Meem Plaza Riyadh</v>
          </cell>
          <cell r="E31">
            <v>500000</v>
          </cell>
        </row>
        <row r="32">
          <cell r="B32" t="str">
            <v>TOTAL</v>
          </cell>
          <cell r="E32">
            <v>1370000</v>
          </cell>
        </row>
        <row r="34">
          <cell r="B34" t="str">
            <v>05-Haifa Mall</v>
          </cell>
          <cell r="E34">
            <v>280000</v>
          </cell>
        </row>
        <row r="35">
          <cell r="B35" t="str">
            <v>07-Arab Mall</v>
          </cell>
          <cell r="E35">
            <v>600000</v>
          </cell>
        </row>
        <row r="36">
          <cell r="B36" t="str">
            <v>48 - Jeddah Park</v>
          </cell>
          <cell r="E36">
            <v>620000</v>
          </cell>
        </row>
        <row r="37">
          <cell r="B37" t="str">
            <v>56- Aziz Mall 2</v>
          </cell>
          <cell r="E37">
            <v>350000</v>
          </cell>
        </row>
        <row r="38">
          <cell r="B38" t="str">
            <v>TOTAL</v>
          </cell>
          <cell r="E38">
            <v>1850000</v>
          </cell>
        </row>
        <row r="40">
          <cell r="B40" t="str">
            <v>08-Makkah Mall</v>
          </cell>
          <cell r="E40">
            <v>990000</v>
          </cell>
        </row>
        <row r="41">
          <cell r="B41" t="str">
            <v>20-Sitten Street Makkah</v>
          </cell>
          <cell r="E41">
            <v>380000</v>
          </cell>
        </row>
        <row r="42">
          <cell r="B42" t="str">
            <v>55- Jabl Omar</v>
          </cell>
          <cell r="E42">
            <v>370000</v>
          </cell>
        </row>
        <row r="43">
          <cell r="B43" t="str">
            <v>TOTAL</v>
          </cell>
          <cell r="E43">
            <v>1740000</v>
          </cell>
        </row>
        <row r="45">
          <cell r="B45" t="str">
            <v>17-Arar Othaim Mall</v>
          </cell>
          <cell r="E45">
            <v>95000</v>
          </cell>
        </row>
        <row r="46">
          <cell r="B46" t="str">
            <v>22-Tabuk Park</v>
          </cell>
          <cell r="E46">
            <v>490000</v>
          </cell>
        </row>
        <row r="47">
          <cell r="B47" t="str">
            <v>23-Alia Mall Madinah</v>
          </cell>
          <cell r="E47">
            <v>620000</v>
          </cell>
        </row>
        <row r="48">
          <cell r="B48" t="str">
            <v>24-Yanbu Dana Mall</v>
          </cell>
          <cell r="E48">
            <v>250000</v>
          </cell>
        </row>
        <row r="49">
          <cell r="B49" t="str">
            <v>26-Al-Noor Mall Madinah</v>
          </cell>
          <cell r="E49">
            <v>520000</v>
          </cell>
        </row>
        <row r="50">
          <cell r="B50" t="str">
            <v>44-Al-Jouf Center</v>
          </cell>
          <cell r="E50">
            <v>90000</v>
          </cell>
        </row>
        <row r="51">
          <cell r="B51" t="str">
            <v>TOTAL</v>
          </cell>
          <cell r="E51">
            <v>2065000</v>
          </cell>
        </row>
        <row r="53">
          <cell r="B53" t="str">
            <v>16-Ehsa Othaim Mall</v>
          </cell>
          <cell r="E53">
            <v>625000</v>
          </cell>
        </row>
        <row r="54">
          <cell r="B54" t="str">
            <v>27-Dhahran Mall khobar</v>
          </cell>
          <cell r="E54">
            <v>1250000</v>
          </cell>
        </row>
        <row r="55">
          <cell r="B55" t="str">
            <v>28-Al Nakheel Mall Dammam</v>
          </cell>
          <cell r="E55">
            <v>850000</v>
          </cell>
        </row>
        <row r="56">
          <cell r="B56" t="str">
            <v>36-Al jubail Mall</v>
          </cell>
          <cell r="E56">
            <v>240000</v>
          </cell>
        </row>
        <row r="57">
          <cell r="B57" t="str">
            <v>42-Dareen Mall Dammam</v>
          </cell>
          <cell r="E57">
            <v>400000</v>
          </cell>
        </row>
        <row r="58">
          <cell r="B58" t="str">
            <v>49-AlAhsa Mall</v>
          </cell>
          <cell r="E58">
            <v>290000</v>
          </cell>
        </row>
        <row r="59">
          <cell r="B59" t="str">
            <v>TOTAL</v>
          </cell>
          <cell r="E59">
            <v>3655000</v>
          </cell>
        </row>
        <row r="61">
          <cell r="B61" t="str">
            <v>21-Abha Al_Rashid Mall New</v>
          </cell>
          <cell r="E61">
            <v>650000</v>
          </cell>
        </row>
        <row r="62">
          <cell r="B62" t="str">
            <v>43-Mujan Park</v>
          </cell>
          <cell r="E62">
            <v>500000</v>
          </cell>
        </row>
        <row r="63">
          <cell r="B63" t="str">
            <v>52-Al_Baha Mall</v>
          </cell>
          <cell r="E63">
            <v>180000</v>
          </cell>
        </row>
        <row r="64">
          <cell r="B64" t="str">
            <v>TOTAL</v>
          </cell>
          <cell r="E64">
            <v>1330000</v>
          </cell>
        </row>
        <row r="66">
          <cell r="B66" t="str">
            <v>06-Red Sea Mall</v>
          </cell>
          <cell r="E66">
            <v>920000</v>
          </cell>
        </row>
        <row r="67">
          <cell r="B67" t="str">
            <v>13-Al-Yasmin Mall</v>
          </cell>
          <cell r="E67">
            <v>590000</v>
          </cell>
        </row>
        <row r="68">
          <cell r="B68" t="str">
            <v>54-THE VILLAGE</v>
          </cell>
          <cell r="E68">
            <v>700000</v>
          </cell>
        </row>
        <row r="69">
          <cell r="B69" t="str">
            <v>TOTAL</v>
          </cell>
          <cell r="E69">
            <v>2210000</v>
          </cell>
        </row>
        <row r="71">
          <cell r="B71" t="str">
            <v>PLATFORMS</v>
          </cell>
          <cell r="E71">
            <v>0</v>
          </cell>
        </row>
        <row r="72">
          <cell r="B72" t="str">
            <v>Warehouse</v>
          </cell>
          <cell r="E72">
            <v>0</v>
          </cell>
        </row>
        <row r="73">
          <cell r="B73" t="str">
            <v>TOTAL</v>
          </cell>
          <cell r="E73">
            <v>0</v>
          </cell>
        </row>
        <row r="75">
          <cell r="B75" t="str">
            <v>GRAND TOTAL</v>
          </cell>
          <cell r="E75">
            <v>22050000</v>
          </cell>
        </row>
        <row r="77">
          <cell r="B77" t="str">
            <v>GRAND TOTAL</v>
          </cell>
          <cell r="E77">
            <v>22050000</v>
          </cell>
        </row>
      </sheetData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8E192-427D-47FE-9BEE-099737C33C3E}">
  <dimension ref="A1:E48"/>
  <sheetViews>
    <sheetView tabSelected="1" workbookViewId="0">
      <selection activeCell="C1" sqref="C1:E1"/>
    </sheetView>
  </sheetViews>
  <sheetFormatPr defaultRowHeight="15" x14ac:dyDescent="0.25"/>
  <cols>
    <col min="1" max="1" width="27.140625" bestFit="1" customWidth="1"/>
    <col min="2" max="2" width="13.140625" bestFit="1" customWidth="1"/>
  </cols>
  <sheetData>
    <row r="1" spans="1:5" x14ac:dyDescent="0.25">
      <c r="A1" t="s">
        <v>0</v>
      </c>
      <c r="B1" t="s">
        <v>1</v>
      </c>
      <c r="C1" t="s">
        <v>96</v>
      </c>
      <c r="D1" t="s">
        <v>98</v>
      </c>
      <c r="E1" t="s">
        <v>97</v>
      </c>
    </row>
    <row r="2" spans="1:5" x14ac:dyDescent="0.25">
      <c r="A2" t="s">
        <v>2</v>
      </c>
      <c r="B2" t="s">
        <v>3</v>
      </c>
      <c r="C2">
        <f>_xlfn.XLOOKUP(A2,[1]Target!$B:$B,[1]Target!$E:$E)</f>
        <v>680000</v>
      </c>
      <c r="D2" t="s">
        <v>99</v>
      </c>
      <c r="E2" t="s">
        <v>113</v>
      </c>
    </row>
    <row r="3" spans="1:5" x14ac:dyDescent="0.25">
      <c r="A3" t="s">
        <v>4</v>
      </c>
      <c r="B3" t="s">
        <v>5</v>
      </c>
      <c r="C3">
        <f>_xlfn.XLOOKUP(A3,[1]Target!$B:$B,[1]Target!$E:$E)</f>
        <v>280000</v>
      </c>
      <c r="D3" t="s">
        <v>99</v>
      </c>
      <c r="E3" t="s">
        <v>114</v>
      </c>
    </row>
    <row r="4" spans="1:5" x14ac:dyDescent="0.25">
      <c r="A4" t="s">
        <v>6</v>
      </c>
      <c r="B4" t="s">
        <v>7</v>
      </c>
      <c r="C4">
        <f>_xlfn.XLOOKUP(A4,[1]Target!$B:$B,[1]Target!$E:$E)</f>
        <v>920000</v>
      </c>
      <c r="D4" t="s">
        <v>99</v>
      </c>
      <c r="E4" t="s">
        <v>115</v>
      </c>
    </row>
    <row r="5" spans="1:5" x14ac:dyDescent="0.25">
      <c r="A5" t="s">
        <v>8</v>
      </c>
      <c r="B5" t="s">
        <v>9</v>
      </c>
      <c r="C5">
        <f>_xlfn.XLOOKUP(A5,[1]Target!$B:$B,[1]Target!$E:$E)</f>
        <v>600000</v>
      </c>
      <c r="D5" t="s">
        <v>99</v>
      </c>
      <c r="E5" t="s">
        <v>114</v>
      </c>
    </row>
    <row r="6" spans="1:5" x14ac:dyDescent="0.25">
      <c r="A6" t="s">
        <v>10</v>
      </c>
      <c r="B6" t="s">
        <v>11</v>
      </c>
      <c r="C6">
        <f>_xlfn.XLOOKUP(A6,[1]Target!$B:$B,[1]Target!$E:$E)</f>
        <v>360000</v>
      </c>
      <c r="D6" t="s">
        <v>99</v>
      </c>
      <c r="E6" t="s">
        <v>113</v>
      </c>
    </row>
    <row r="7" spans="1:5" x14ac:dyDescent="0.25">
      <c r="A7" t="s">
        <v>12</v>
      </c>
      <c r="B7" t="s">
        <v>13</v>
      </c>
      <c r="C7">
        <f>_xlfn.XLOOKUP(A7,[1]Target!$B:$B,[1]Target!$E:$E)</f>
        <v>590000</v>
      </c>
      <c r="D7" t="s">
        <v>99</v>
      </c>
      <c r="E7" t="s">
        <v>115</v>
      </c>
    </row>
    <row r="8" spans="1:5" x14ac:dyDescent="0.25">
      <c r="A8" t="s">
        <v>14</v>
      </c>
      <c r="B8" t="s">
        <v>15</v>
      </c>
      <c r="C8">
        <f>_xlfn.XLOOKUP(A8,[1]Target!$B:$B,[1]Target!$E:$E)</f>
        <v>330000</v>
      </c>
      <c r="D8" t="s">
        <v>99</v>
      </c>
      <c r="E8" t="s">
        <v>113</v>
      </c>
    </row>
    <row r="9" spans="1:5" x14ac:dyDescent="0.25">
      <c r="A9" t="s">
        <v>16</v>
      </c>
      <c r="B9" t="s">
        <v>17</v>
      </c>
      <c r="C9">
        <f>_xlfn.XLOOKUP(A9,[1]Target!$B:$B,[1]Target!$E:$E)</f>
        <v>620000</v>
      </c>
      <c r="D9" t="s">
        <v>99</v>
      </c>
      <c r="E9" t="s">
        <v>114</v>
      </c>
    </row>
    <row r="10" spans="1:5" x14ac:dyDescent="0.25">
      <c r="A10" t="s">
        <v>18</v>
      </c>
      <c r="B10" t="s">
        <v>19</v>
      </c>
      <c r="C10">
        <f>_xlfn.XLOOKUP(A10,[1]Target!$B:$B,[1]Target!$E:$E)</f>
        <v>135000</v>
      </c>
      <c r="D10" t="s">
        <v>99</v>
      </c>
      <c r="E10" t="s">
        <v>113</v>
      </c>
    </row>
    <row r="11" spans="1:5" x14ac:dyDescent="0.25">
      <c r="A11" t="s">
        <v>20</v>
      </c>
      <c r="B11" t="s">
        <v>21</v>
      </c>
      <c r="C11">
        <f>_xlfn.XLOOKUP(A11,[1]Target!$B:$B,[1]Target!$E:$E)</f>
        <v>700000</v>
      </c>
      <c r="D11" t="s">
        <v>99</v>
      </c>
      <c r="E11" t="s">
        <v>115</v>
      </c>
    </row>
    <row r="12" spans="1:5" x14ac:dyDescent="0.25">
      <c r="A12" t="s">
        <v>22</v>
      </c>
      <c r="B12" t="s">
        <v>23</v>
      </c>
      <c r="C12">
        <f>_xlfn.XLOOKUP(A12,[1]Target!$B:$B,[1]Target!$E:$E)</f>
        <v>350000</v>
      </c>
      <c r="D12" t="s">
        <v>99</v>
      </c>
      <c r="E12" t="s">
        <v>114</v>
      </c>
    </row>
    <row r="13" spans="1:5" x14ac:dyDescent="0.25">
      <c r="A13" t="s">
        <v>24</v>
      </c>
      <c r="B13" t="s">
        <v>25</v>
      </c>
      <c r="C13">
        <f>_xlfn.XLOOKUP(A13,[1]Target!$B:$B,[1]Target!$E:$E)</f>
        <v>220000</v>
      </c>
      <c r="D13" t="s">
        <v>99</v>
      </c>
      <c r="E13" t="s">
        <v>113</v>
      </c>
    </row>
    <row r="14" spans="1:5" x14ac:dyDescent="0.25">
      <c r="A14" t="s">
        <v>26</v>
      </c>
      <c r="B14" t="s">
        <v>27</v>
      </c>
      <c r="C14">
        <f>_xlfn.XLOOKUP(A14,[1]Target!$B:$B,[1]Target!$E:$E)</f>
        <v>680000</v>
      </c>
      <c r="D14" t="s">
        <v>100</v>
      </c>
      <c r="E14" t="s">
        <v>116</v>
      </c>
    </row>
    <row r="15" spans="1:5" x14ac:dyDescent="0.25">
      <c r="A15" t="s">
        <v>28</v>
      </c>
      <c r="B15" t="s">
        <v>29</v>
      </c>
      <c r="C15">
        <f>_xlfn.XLOOKUP(A15,[1]Target!$B:$B,[1]Target!$E:$E)</f>
        <v>270000</v>
      </c>
      <c r="D15" t="s">
        <v>100</v>
      </c>
      <c r="E15" t="s">
        <v>117</v>
      </c>
    </row>
    <row r="16" spans="1:5" x14ac:dyDescent="0.25">
      <c r="A16" t="s">
        <v>30</v>
      </c>
      <c r="B16" t="s">
        <v>31</v>
      </c>
      <c r="C16">
        <f>_xlfn.XLOOKUP(A16,[1]Target!$B:$B,[1]Target!$E:$E)</f>
        <v>270000</v>
      </c>
      <c r="D16" t="s">
        <v>100</v>
      </c>
      <c r="E16" t="s">
        <v>117</v>
      </c>
    </row>
    <row r="17" spans="1:5" x14ac:dyDescent="0.25">
      <c r="A17" t="s">
        <v>32</v>
      </c>
      <c r="B17" t="s">
        <v>33</v>
      </c>
      <c r="C17">
        <f>_xlfn.XLOOKUP(A17,[1]Target!$B:$B,[1]Target!$E:$E)</f>
        <v>920000</v>
      </c>
      <c r="D17" t="s">
        <v>100</v>
      </c>
      <c r="E17" t="s">
        <v>116</v>
      </c>
    </row>
    <row r="18" spans="1:5" x14ac:dyDescent="0.25">
      <c r="A18" t="s">
        <v>34</v>
      </c>
      <c r="B18" t="s">
        <v>35</v>
      </c>
      <c r="C18">
        <f>_xlfn.XLOOKUP(A18,[1]Target!$B:$B,[1]Target!$E:$E)</f>
        <v>300000</v>
      </c>
      <c r="D18" t="s">
        <v>100</v>
      </c>
      <c r="E18" t="s">
        <v>118</v>
      </c>
    </row>
    <row r="19" spans="1:5" x14ac:dyDescent="0.25">
      <c r="A19" t="s">
        <v>36</v>
      </c>
      <c r="B19" t="s">
        <v>37</v>
      </c>
      <c r="C19">
        <f>_xlfn.XLOOKUP(A19,[1]Target!$B:$B,[1]Target!$E:$E)</f>
        <v>260000</v>
      </c>
      <c r="D19" t="s">
        <v>100</v>
      </c>
      <c r="E19" t="s">
        <v>116</v>
      </c>
    </row>
    <row r="20" spans="1:5" x14ac:dyDescent="0.25">
      <c r="A20" t="s">
        <v>38</v>
      </c>
      <c r="B20" t="s">
        <v>39</v>
      </c>
      <c r="C20">
        <f>_xlfn.XLOOKUP(A20,[1]Target!$B:$B,[1]Target!$E:$E)</f>
        <v>660000</v>
      </c>
      <c r="D20" t="s">
        <v>100</v>
      </c>
      <c r="E20" t="s">
        <v>116</v>
      </c>
    </row>
    <row r="21" spans="1:5" x14ac:dyDescent="0.25">
      <c r="A21" t="s">
        <v>40</v>
      </c>
      <c r="B21" t="s">
        <v>41</v>
      </c>
      <c r="C21">
        <f>_xlfn.XLOOKUP(A21,[1]Target!$B:$B,[1]Target!$E:$E)</f>
        <v>330000</v>
      </c>
      <c r="D21" t="s">
        <v>100</v>
      </c>
      <c r="E21" t="s">
        <v>117</v>
      </c>
    </row>
    <row r="22" spans="1:5" x14ac:dyDescent="0.25">
      <c r="A22" t="s">
        <v>42</v>
      </c>
      <c r="B22" t="s">
        <v>43</v>
      </c>
      <c r="C22">
        <f>_xlfn.XLOOKUP(A22,[1]Target!$B:$B,[1]Target!$E:$E)</f>
        <v>360000</v>
      </c>
      <c r="D22" t="s">
        <v>100</v>
      </c>
      <c r="E22" t="s">
        <v>118</v>
      </c>
    </row>
    <row r="23" spans="1:5" x14ac:dyDescent="0.25">
      <c r="A23" t="s">
        <v>44</v>
      </c>
      <c r="B23" t="s">
        <v>45</v>
      </c>
      <c r="C23">
        <f>_xlfn.XLOOKUP(A23,[1]Target!$B:$B,[1]Target!$E:$E)</f>
        <v>530000</v>
      </c>
      <c r="D23" t="s">
        <v>100</v>
      </c>
      <c r="E23" t="s">
        <v>116</v>
      </c>
    </row>
    <row r="24" spans="1:5" x14ac:dyDescent="0.25">
      <c r="A24" t="s">
        <v>46</v>
      </c>
      <c r="B24" t="s">
        <v>47</v>
      </c>
      <c r="C24">
        <f>_xlfn.XLOOKUP(A24,[1]Target!$B:$B,[1]Target!$E:$E)</f>
        <v>530000</v>
      </c>
      <c r="D24" t="s">
        <v>100</v>
      </c>
      <c r="E24" t="s">
        <v>116</v>
      </c>
    </row>
    <row r="25" spans="1:5" x14ac:dyDescent="0.25">
      <c r="A25" t="s">
        <v>48</v>
      </c>
      <c r="B25" t="s">
        <v>49</v>
      </c>
      <c r="C25">
        <f>_xlfn.XLOOKUP(A25,[1]Target!$B:$B,[1]Target!$E:$E)</f>
        <v>500000</v>
      </c>
      <c r="D25" t="s">
        <v>100</v>
      </c>
      <c r="E25" t="s">
        <v>117</v>
      </c>
    </row>
    <row r="26" spans="1:5" x14ac:dyDescent="0.25">
      <c r="A26" t="s">
        <v>50</v>
      </c>
      <c r="B26" t="s">
        <v>51</v>
      </c>
      <c r="C26">
        <f>_xlfn.XLOOKUP(A26,[1]Target!$B:$B,[1]Target!$E:$E)</f>
        <v>530000</v>
      </c>
      <c r="D26" t="s">
        <v>100</v>
      </c>
      <c r="E26" t="s">
        <v>116</v>
      </c>
    </row>
    <row r="27" spans="1:5" x14ac:dyDescent="0.25">
      <c r="A27" t="s">
        <v>52</v>
      </c>
      <c r="B27" t="s">
        <v>53</v>
      </c>
      <c r="C27">
        <f>_xlfn.XLOOKUP(A27,[1]Target!$B:$B,[1]Target!$E:$E)</f>
        <v>990000</v>
      </c>
      <c r="D27" t="s">
        <v>101</v>
      </c>
      <c r="E27" t="s">
        <v>119</v>
      </c>
    </row>
    <row r="28" spans="1:5" x14ac:dyDescent="0.25">
      <c r="A28" t="s">
        <v>54</v>
      </c>
      <c r="B28" t="s">
        <v>55</v>
      </c>
      <c r="C28">
        <f>_xlfn.XLOOKUP(A28,[1]Target!$B:$B,[1]Target!$E:$E)</f>
        <v>380000</v>
      </c>
      <c r="D28" t="s">
        <v>101</v>
      </c>
      <c r="E28" t="s">
        <v>119</v>
      </c>
    </row>
    <row r="29" spans="1:5" x14ac:dyDescent="0.25">
      <c r="A29" t="s">
        <v>56</v>
      </c>
      <c r="B29" t="s">
        <v>57</v>
      </c>
      <c r="C29">
        <f>_xlfn.XLOOKUP(A29,[1]Target!$B:$B,[1]Target!$E:$E)</f>
        <v>370000</v>
      </c>
      <c r="D29" t="s">
        <v>101</v>
      </c>
      <c r="E29" t="s">
        <v>119</v>
      </c>
    </row>
    <row r="30" spans="1:5" x14ac:dyDescent="0.25">
      <c r="A30" t="s">
        <v>58</v>
      </c>
      <c r="B30" t="s">
        <v>59</v>
      </c>
      <c r="C30">
        <f>_xlfn.XLOOKUP(A30,[1]Target!$B:$B,[1]Target!$E:$E)</f>
        <v>370000</v>
      </c>
      <c r="D30" t="s">
        <v>102</v>
      </c>
      <c r="E30" t="s">
        <v>120</v>
      </c>
    </row>
    <row r="31" spans="1:5" x14ac:dyDescent="0.25">
      <c r="A31" t="s">
        <v>60</v>
      </c>
      <c r="B31" t="s">
        <v>61</v>
      </c>
      <c r="C31">
        <f>_xlfn.XLOOKUP(A31,[1]Target!$B:$B,[1]Target!$E:$E)</f>
        <v>175000</v>
      </c>
      <c r="D31" t="s">
        <v>102</v>
      </c>
      <c r="E31" t="s">
        <v>120</v>
      </c>
    </row>
    <row r="32" spans="1:5" x14ac:dyDescent="0.25">
      <c r="A32" t="s">
        <v>62</v>
      </c>
      <c r="B32" t="s">
        <v>63</v>
      </c>
      <c r="C32">
        <f>_xlfn.XLOOKUP(A32,[1]Target!$B:$B,[1]Target!$E:$E)</f>
        <v>620000</v>
      </c>
      <c r="D32" t="s">
        <v>103</v>
      </c>
      <c r="E32" t="s">
        <v>121</v>
      </c>
    </row>
    <row r="33" spans="1:5" x14ac:dyDescent="0.25">
      <c r="A33" t="s">
        <v>64</v>
      </c>
      <c r="B33" t="s">
        <v>65</v>
      </c>
      <c r="C33">
        <f>_xlfn.XLOOKUP(A33,[1]Target!$B:$B,[1]Target!$E:$E)</f>
        <v>520000</v>
      </c>
      <c r="D33" t="s">
        <v>103</v>
      </c>
      <c r="E33" t="s">
        <v>121</v>
      </c>
    </row>
    <row r="34" spans="1:5" x14ac:dyDescent="0.25">
      <c r="A34" t="s">
        <v>66</v>
      </c>
      <c r="B34" t="s">
        <v>67</v>
      </c>
      <c r="C34">
        <f>_xlfn.XLOOKUP(A34,[1]Target!$B:$B,[1]Target!$E:$E)</f>
        <v>250000</v>
      </c>
      <c r="D34" t="s">
        <v>104</v>
      </c>
      <c r="E34" t="s">
        <v>121</v>
      </c>
    </row>
    <row r="35" spans="1:5" x14ac:dyDescent="0.25">
      <c r="A35" t="s">
        <v>68</v>
      </c>
      <c r="B35" t="s">
        <v>69</v>
      </c>
      <c r="C35">
        <f>_xlfn.XLOOKUP(A35,[1]Target!$B:$B,[1]Target!$E:$E)</f>
        <v>625000</v>
      </c>
      <c r="D35" t="s">
        <v>105</v>
      </c>
      <c r="E35" t="s">
        <v>122</v>
      </c>
    </row>
    <row r="36" spans="1:5" x14ac:dyDescent="0.25">
      <c r="A36" t="s">
        <v>70</v>
      </c>
      <c r="B36" t="s">
        <v>71</v>
      </c>
      <c r="C36">
        <f>_xlfn.XLOOKUP(A36,[1]Target!$B:$B,[1]Target!$E:$E)</f>
        <v>290000</v>
      </c>
      <c r="D36" t="s">
        <v>105</v>
      </c>
      <c r="E36" t="s">
        <v>122</v>
      </c>
    </row>
    <row r="37" spans="1:5" x14ac:dyDescent="0.25">
      <c r="A37" t="s">
        <v>72</v>
      </c>
      <c r="B37" t="s">
        <v>73</v>
      </c>
      <c r="C37">
        <f>_xlfn.XLOOKUP(A37,[1]Target!$B:$B,[1]Target!$E:$E)</f>
        <v>95000</v>
      </c>
      <c r="D37" t="s">
        <v>106</v>
      </c>
      <c r="E37" t="s">
        <v>121</v>
      </c>
    </row>
    <row r="38" spans="1:5" x14ac:dyDescent="0.25">
      <c r="A38" t="s">
        <v>74</v>
      </c>
      <c r="B38" t="s">
        <v>75</v>
      </c>
      <c r="C38">
        <f>_xlfn.XLOOKUP(A38,[1]Target!$B:$B,[1]Target!$E:$E)</f>
        <v>390000</v>
      </c>
      <c r="D38" t="s">
        <v>107</v>
      </c>
      <c r="E38" t="s">
        <v>118</v>
      </c>
    </row>
    <row r="39" spans="1:5" x14ac:dyDescent="0.25">
      <c r="A39" t="s">
        <v>76</v>
      </c>
      <c r="B39" t="s">
        <v>77</v>
      </c>
      <c r="C39">
        <f>_xlfn.XLOOKUP(A39,[1]Target!$B:$B,[1]Target!$E:$E)</f>
        <v>650000</v>
      </c>
      <c r="D39" t="s">
        <v>108</v>
      </c>
      <c r="E39" t="s">
        <v>123</v>
      </c>
    </row>
    <row r="40" spans="1:5" x14ac:dyDescent="0.25">
      <c r="A40" t="s">
        <v>78</v>
      </c>
      <c r="B40" t="s">
        <v>79</v>
      </c>
      <c r="C40">
        <f>_xlfn.XLOOKUP(A40,[1]Target!$B:$B,[1]Target!$E:$E)</f>
        <v>500000</v>
      </c>
      <c r="D40" t="s">
        <v>108</v>
      </c>
      <c r="E40" t="s">
        <v>123</v>
      </c>
    </row>
    <row r="41" spans="1:5" x14ac:dyDescent="0.25">
      <c r="A41" t="s">
        <v>80</v>
      </c>
      <c r="B41" t="s">
        <v>81</v>
      </c>
      <c r="C41">
        <f>_xlfn.XLOOKUP(A41,[1]Target!$B:$B,[1]Target!$E:$E)</f>
        <v>180000</v>
      </c>
      <c r="D41" t="s">
        <v>108</v>
      </c>
      <c r="E41" t="s">
        <v>123</v>
      </c>
    </row>
    <row r="42" spans="1:5" x14ac:dyDescent="0.25">
      <c r="A42" t="s">
        <v>82</v>
      </c>
      <c r="B42" t="s">
        <v>83</v>
      </c>
      <c r="C42">
        <f>_xlfn.XLOOKUP(A42,[1]Target!$B:$B,[1]Target!$E:$E)</f>
        <v>490000</v>
      </c>
      <c r="D42" t="s">
        <v>109</v>
      </c>
      <c r="E42" t="s">
        <v>121</v>
      </c>
    </row>
    <row r="43" spans="1:5" x14ac:dyDescent="0.25">
      <c r="A43" t="s">
        <v>84</v>
      </c>
      <c r="B43" t="s">
        <v>85</v>
      </c>
      <c r="C43">
        <f>_xlfn.XLOOKUP(A43,[1]Target!$B:$B,[1]Target!$E:$E)</f>
        <v>1250000</v>
      </c>
      <c r="D43" t="s">
        <v>110</v>
      </c>
      <c r="E43" t="s">
        <v>122</v>
      </c>
    </row>
    <row r="44" spans="1:5" x14ac:dyDescent="0.25">
      <c r="A44" t="s">
        <v>86</v>
      </c>
      <c r="B44" t="s">
        <v>87</v>
      </c>
      <c r="C44">
        <f>_xlfn.XLOOKUP(A44,[1]Target!$B:$B,[1]Target!$E:$E)</f>
        <v>850000</v>
      </c>
      <c r="D44" t="s">
        <v>110</v>
      </c>
      <c r="E44" t="s">
        <v>122</v>
      </c>
    </row>
    <row r="45" spans="1:5" x14ac:dyDescent="0.25">
      <c r="A45" t="s">
        <v>88</v>
      </c>
      <c r="B45" t="s">
        <v>89</v>
      </c>
      <c r="C45">
        <f>_xlfn.XLOOKUP(A45,[1]Target!$B:$B,[1]Target!$E:$E)</f>
        <v>400000</v>
      </c>
      <c r="D45" t="s">
        <v>110</v>
      </c>
      <c r="E45" t="s">
        <v>122</v>
      </c>
    </row>
    <row r="46" spans="1:5" x14ac:dyDescent="0.25">
      <c r="A46" t="s">
        <v>90</v>
      </c>
      <c r="B46" t="s">
        <v>91</v>
      </c>
      <c r="C46">
        <f>_xlfn.XLOOKUP(A46,[1]Target!$B:$B,[1]Target!$E:$E)</f>
        <v>240000</v>
      </c>
      <c r="D46" t="s">
        <v>110</v>
      </c>
      <c r="E46" t="s">
        <v>122</v>
      </c>
    </row>
    <row r="47" spans="1:5" x14ac:dyDescent="0.25">
      <c r="A47" t="s">
        <v>92</v>
      </c>
      <c r="B47" t="s">
        <v>93</v>
      </c>
      <c r="C47">
        <f>_xlfn.XLOOKUP(A47,[1]Target!$B:$B,[1]Target!$E:$E)</f>
        <v>90000</v>
      </c>
      <c r="D47" t="s">
        <v>111</v>
      </c>
      <c r="E47" t="s">
        <v>121</v>
      </c>
    </row>
    <row r="48" spans="1:5" x14ac:dyDescent="0.25">
      <c r="A48" t="s">
        <v>94</v>
      </c>
      <c r="B48" t="s">
        <v>95</v>
      </c>
      <c r="C48">
        <f>_xlfn.XLOOKUP(A48,[1]Target!$B:$B,[1]Target!$E:$E)</f>
        <v>400000</v>
      </c>
      <c r="D48" t="s">
        <v>112</v>
      </c>
      <c r="E48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alaa wafaie</dc:creator>
  <cp:lastModifiedBy>alaa wafaie</cp:lastModifiedBy>
  <dcterms:created xsi:type="dcterms:W3CDTF">2026-01-05T12:06:19Z</dcterms:created>
  <dcterms:modified xsi:type="dcterms:W3CDTF">2026-01-06T11:46:36Z</dcterms:modified>
</cp:coreProperties>
</file>